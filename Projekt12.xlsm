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en_skoroszyt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Predator\Desktop\"/>
    </mc:Choice>
  </mc:AlternateContent>
  <xr:revisionPtr revIDLastSave="0" documentId="13_ncr:1_{99BC19D6-7857-4CE2-86FD-BECDCA649692}" xr6:coauthVersionLast="47" xr6:coauthVersionMax="47" xr10:uidLastSave="{00000000-0000-0000-0000-000000000000}"/>
  <bookViews>
    <workbookView xWindow="-110" yWindow="-110" windowWidth="38620" windowHeight="21100" xr2:uid="{1FFA5658-2455-4D74-B650-C330781C2001}"/>
  </bookViews>
  <sheets>
    <sheet name="DaneModelu" sheetId="60" r:id="rId1"/>
    <sheet name="Sprzedawcy" sheetId="59" r:id="rId2"/>
    <sheet name="Produkty" sheetId="58" r:id="rId3"/>
    <sheet name="ArkuszTest" sheetId="57" r:id="rId4"/>
  </sheets>
  <definedNames>
    <definedName name="_xlcn.LinkedTable_Tabela_Produkty1" hidden="1">Tabela_Produkty[]</definedName>
    <definedName name="_xlcn.LinkedTable_Tabela_Sprzedawcy1" hidden="1">Tabela_Sprzedawcy[]</definedName>
    <definedName name="ExternalData_1" localSheetId="0" hidden="1">DaneModelu!$A$1:$I$21</definedName>
  </definedNames>
  <calcPr calcId="191029"/>
  <pivotCaches>
    <pivotCache cacheId="9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_Produkty" name="Tabela_Produkty" connection="LinkedTable_Tabela_Produkty"/>
          <x15:modelTable id="Tabela_Sprzedawcy" name="Tabela_Sprzedawcy" connection="LinkedTable_Tabela_Sprzedawc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60" l="1"/>
  <c r="J3" i="60"/>
  <c r="J4" i="60"/>
  <c r="J5" i="60"/>
  <c r="J6" i="60"/>
  <c r="J7" i="60"/>
  <c r="J8" i="60"/>
  <c r="J9" i="60"/>
  <c r="J10" i="60"/>
  <c r="J11" i="60"/>
  <c r="J12" i="60"/>
  <c r="J13" i="60"/>
  <c r="J14" i="60"/>
  <c r="J15" i="60"/>
  <c r="J16" i="60"/>
  <c r="J17" i="60"/>
  <c r="J18" i="60"/>
  <c r="J19" i="60"/>
  <c r="J20" i="60"/>
  <c r="J21" i="6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A52F2A-AAD3-4DC0-B222-2048B86F509F}" name="LinkedTable_Tabela_Produkty" description="LookupTable" type="102" refreshedVersion="8" minRefreshableVersion="5">
    <extLst>
      <ext xmlns:x15="http://schemas.microsoft.com/office/spreadsheetml/2010/11/main" uri="{DE250136-89BD-433C-8126-D09CA5730AF9}">
        <x15:connection id="Tabela_Produkty">
          <x15:rangePr sourceName="_xlcn.LinkedTable_Tabela_Produkty1"/>
        </x15:connection>
      </ext>
    </extLst>
  </connection>
  <connection id="2" xr16:uid="{AF871D2E-FA3B-43B6-8E5D-8D31D3F1700F}" name="LinkedTable_Tabela_Sprzedawcy" description="LookupTable" type="102" refreshedVersion="8" minRefreshableVersion="5">
    <extLst>
      <ext xmlns:x15="http://schemas.microsoft.com/office/spreadsheetml/2010/11/main" uri="{DE250136-89BD-433C-8126-D09CA5730AF9}">
        <x15:connection id="Tabela_Sprzedawcy">
          <x15:rangePr sourceName="_xlcn.LinkedTable_Tabela_Sprzedawcy1"/>
        </x15:connection>
      </ext>
    </extLst>
  </connection>
  <connection id="3" xr16:uid="{3C9C8BB6-C0F5-45F5-A225-AEDFAF805DFB}" keepAlive="1" name="Połączenie" type="5" refreshedVersion="8" background="1" saveData="1">
    <dbPr connection="Provider=Microsoft.Mashup.OleDb.1;Data Source=$Workbook$;Location=Kwerenda_DaneModelu;Extended Properties=&quot;&quot;" command="SELECT * FROM [Kwerenda_DaneModelu]"/>
  </connection>
  <connection id="4" xr16:uid="{A0C12492-6C70-4B49-B5EF-0754BAA1AE3A}" keepAlive="1" name="ThisWorkbookDataModel" description="Model danych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<sst xmlns="http://schemas.openxmlformats.org/spreadsheetml/2006/main" count="123" uniqueCount="42">
  <si>
    <t>ID_Zamowienia</t>
  </si>
  <si>
    <t>DataZam</t>
  </si>
  <si>
    <t>Produkt</t>
  </si>
  <si>
    <t>PojemnoscGram</t>
  </si>
  <si>
    <t>LiczbaSzt</t>
  </si>
  <si>
    <t>Cena</t>
  </si>
  <si>
    <t>ID_Sprzedawcy</t>
  </si>
  <si>
    <t>Nasiona chia</t>
  </si>
  <si>
    <t>Orzechy brazylijskie</t>
  </si>
  <si>
    <t>Quinoa</t>
  </si>
  <si>
    <t>Płatki owsiane</t>
  </si>
  <si>
    <t>Miód naturalny</t>
  </si>
  <si>
    <t>Masło orzechowe</t>
  </si>
  <si>
    <t>Olej kokosowy</t>
  </si>
  <si>
    <t>Czekolada gorzka</t>
  </si>
  <si>
    <t>Jagody goji</t>
  </si>
  <si>
    <t>Imie</t>
  </si>
  <si>
    <t>Nazwisko</t>
  </si>
  <si>
    <t>Jan</t>
  </si>
  <si>
    <t>Kowalski</t>
  </si>
  <si>
    <t>Anna</t>
  </si>
  <si>
    <t>Nowak</t>
  </si>
  <si>
    <t>Tomasz</t>
  </si>
  <si>
    <t>Wisniewski</t>
  </si>
  <si>
    <t>Katarzyna</t>
  </si>
  <si>
    <t>Kaminska</t>
  </si>
  <si>
    <t>Piotr</t>
  </si>
  <si>
    <t>Lewandowski</t>
  </si>
  <si>
    <t>Magdalena</t>
  </si>
  <si>
    <t>Zielinska</t>
  </si>
  <si>
    <t>Michal</t>
  </si>
  <si>
    <t>Wojcik</t>
  </si>
  <si>
    <t>Joanna</t>
  </si>
  <si>
    <t>Szymanska</t>
  </si>
  <si>
    <t>Andrzej</t>
  </si>
  <si>
    <t>Wozniak</t>
  </si>
  <si>
    <t>Agnieszka</t>
  </si>
  <si>
    <t>Dabrowska</t>
  </si>
  <si>
    <t>Sprzedaz</t>
  </si>
  <si>
    <t>Etykiety wierszy</t>
  </si>
  <si>
    <t>Suma końcowa</t>
  </si>
  <si>
    <t>Suma z Sprzedaz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</si>
</sst>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ny" xfId="0" builtinId="0"/>
  </cellStyles>
  <dxfs count="15"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1" defaultTableStyle="TableStyleMedium2" defaultPivotStyle="PivotStyleLight16">
    <tableStyle name="Invisible" pivot="0" table="0" count="0" xr9:uid="{0AC89B03-AFA1-4117-9CB5-AE9F9E7EC9F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[Projekt12.xlsm]DaneModelu!PierwszaTabela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Suma Sprzedaży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DaneModelu!$Q$1</c:f>
              <c:strCache>
                <c:ptCount val="1"/>
                <c:pt idx="0">
                  <c:v>Suma</c:v>
                </c:pt>
              </c:strCache>
            </c:strRef>
          </c:tx>
          <c:invertIfNegative val="0"/>
          <c:cat>
            <c:strRef>
              <c:f>DaneModelu!$P$2:$P$12</c:f>
              <c:strCache>
                <c:ptCount val="10"/>
                <c:pt idx="0">
                  <c:v>6</c:v>
                </c:pt>
                <c:pt idx="1">
                  <c:v>9</c:v>
                </c:pt>
                <c:pt idx="2">
                  <c:v>4</c:v>
                </c:pt>
                <c:pt idx="3">
                  <c:v>3</c:v>
                </c:pt>
                <c:pt idx="4">
                  <c:v>7</c:v>
                </c:pt>
                <c:pt idx="5">
                  <c:v>1</c:v>
                </c:pt>
                <c:pt idx="6">
                  <c:v>8</c:v>
                </c:pt>
                <c:pt idx="7">
                  <c:v>5</c:v>
                </c:pt>
                <c:pt idx="8">
                  <c:v>2</c:v>
                </c:pt>
                <c:pt idx="9">
                  <c:v>10</c:v>
                </c:pt>
              </c:strCache>
            </c:strRef>
          </c:cat>
          <c:val>
            <c:numRef>
              <c:f>DaneModelu!$Q$2:$Q$12</c:f>
              <c:numCache>
                <c:formatCode>General</c:formatCode>
                <c:ptCount val="10"/>
                <c:pt idx="0">
                  <c:v>562</c:v>
                </c:pt>
                <c:pt idx="1">
                  <c:v>470</c:v>
                </c:pt>
                <c:pt idx="2">
                  <c:v>456</c:v>
                </c:pt>
                <c:pt idx="3">
                  <c:v>287.5</c:v>
                </c:pt>
                <c:pt idx="4">
                  <c:v>275</c:v>
                </c:pt>
                <c:pt idx="5">
                  <c:v>251</c:v>
                </c:pt>
                <c:pt idx="6">
                  <c:v>183</c:v>
                </c:pt>
                <c:pt idx="7">
                  <c:v>136</c:v>
                </c:pt>
                <c:pt idx="8">
                  <c:v>78</c:v>
                </c:pt>
                <c:pt idx="9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CF-4FCC-A1BE-C5C934306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8411599"/>
        <c:axId val="948413999"/>
      </c:barChart>
      <c:catAx>
        <c:axId val="948411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8413999"/>
        <c:crosses val="autoZero"/>
        <c:auto val="1"/>
        <c:lblAlgn val="ctr"/>
        <c:lblOffset val="100"/>
        <c:noMultiLvlLbl val="0"/>
      </c:catAx>
      <c:valAx>
        <c:axId val="94841399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841159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0</xdr:row>
      <xdr:rowOff>0</xdr:rowOff>
    </xdr:from>
    <xdr:to>
      <xdr:col>34</xdr:col>
      <xdr:colOff>355600</xdr:colOff>
      <xdr:row>20</xdr:row>
      <xdr:rowOff>127000</xdr:rowOff>
    </xdr:to>
    <xdr:graphicFrame macro="">
      <xdr:nvGraphicFramePr>
        <xdr:cNvPr id="2" name="WykresPierwszy">
          <a:extLst>
            <a:ext uri="{FF2B5EF4-FFF2-40B4-BE49-F238E27FC236}">
              <a16:creationId xmlns:a16="http://schemas.microsoft.com/office/drawing/2014/main" id="{2CA27C9D-3995-7853-F6E2-175365AF91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edator" refreshedDate="45629.762208333334" createdVersion="5" refreshedVersion="8" minRefreshableVersion="3" recordCount="20" xr:uid="{93FBA322-FD2B-45CC-A82C-D352EA64F95D}">
  <cacheSource type="worksheet">
    <worksheetSource ref="A1:J21" sheet="DaneModelu"/>
  </cacheSource>
  <cacheFields count="10">
    <cacheField name="ID_Zamowienia" numFmtId="0">
      <sharedItems containsSemiMixedTypes="0" containsString="0" containsNumber="1" containsInteger="1" minValue="1" maxValue="20" count="20">
        <n v="1"/>
        <n v="8"/>
        <n v="2"/>
        <n v="7"/>
        <n v="3"/>
        <n v="4"/>
        <n v="11"/>
        <n v="5"/>
        <n v="6"/>
        <n v="9"/>
        <n v="10"/>
        <n v="12"/>
        <n v="13"/>
        <n v="14"/>
        <n v="15"/>
        <n v="16"/>
        <n v="17"/>
        <n v="18"/>
        <n v="19"/>
        <n v="20"/>
      </sharedItems>
    </cacheField>
    <cacheField name="DataZam" numFmtId="0">
      <sharedItems containsSemiMixedTypes="0" containsString="0" containsNumber="1" containsInteger="1" minValue="45528" maxValue="45622"/>
    </cacheField>
    <cacheField name="Produkt" numFmtId="0">
      <sharedItems/>
    </cacheField>
    <cacheField name="PojemnoscGram" numFmtId="0">
      <sharedItems containsSemiMixedTypes="0" containsString="0" containsNumber="1" containsInteger="1" minValue="250" maxValue="1000"/>
    </cacheField>
    <cacheField name="LiczbaSzt" numFmtId="0">
      <sharedItems containsSemiMixedTypes="0" containsString="0" containsNumber="1" containsInteger="1" minValue="1" maxValue="10"/>
    </cacheField>
    <cacheField name="Cena" numFmtId="0">
      <sharedItems containsSemiMixedTypes="0" containsString="0" containsNumber="1" minValue="6" maxValue="80"/>
    </cacheField>
    <cacheField name="ID_Sprzedawcy" numFmtId="0">
      <sharedItems containsSemiMixedTypes="0" containsString="0" containsNumber="1" containsInteger="1" minValue="1" maxValue="10" count="10">
        <n v="6"/>
        <n v="1"/>
        <n v="4"/>
        <n v="2"/>
        <n v="3"/>
        <n v="5"/>
        <n v="7"/>
        <n v="8"/>
        <n v="9"/>
        <n v="10"/>
      </sharedItems>
    </cacheField>
    <cacheField name="Imie" numFmtId="0">
      <sharedItems/>
    </cacheField>
    <cacheField name="Nazwisko" numFmtId="0">
      <sharedItems/>
    </cacheField>
    <cacheField name="Sprzedaz" numFmtId="0">
      <sharedItems containsSemiMixedTypes="0" containsString="0" containsNumber="1" minValue="16" maxValue="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n v="45534"/>
    <s v="Nasiona chia"/>
    <n v="500"/>
    <n v="6"/>
    <n v="15"/>
    <x v="0"/>
    <s v="Magdalena"/>
    <s v="Zielinska"/>
    <n v="90"/>
  </r>
  <r>
    <x v="1"/>
    <n v="45530"/>
    <s v="Czekolada gorzka"/>
    <n v="750"/>
    <n v="7"/>
    <n v="18"/>
    <x v="1"/>
    <s v="Jan"/>
    <s v="Kowalski"/>
    <n v="126"/>
  </r>
  <r>
    <x v="2"/>
    <n v="45622"/>
    <s v="Orzechy brazylijskie"/>
    <n v="750"/>
    <n v="6"/>
    <n v="60"/>
    <x v="2"/>
    <s v="Katarzyna"/>
    <s v="Kaminska"/>
    <n v="360"/>
  </r>
  <r>
    <x v="3"/>
    <n v="45538"/>
    <s v="Olej kokosowy"/>
    <n v="500"/>
    <n v="3"/>
    <n v="20"/>
    <x v="3"/>
    <s v="Anna"/>
    <s v="Nowak"/>
    <n v="60"/>
  </r>
  <r>
    <x v="4"/>
    <n v="45578"/>
    <s v="Quinoa"/>
    <n v="1000"/>
    <n v="9"/>
    <n v="25"/>
    <x v="4"/>
    <s v="Tomasz"/>
    <s v="Wisniewski"/>
    <n v="225"/>
  </r>
  <r>
    <x v="5"/>
    <n v="45528"/>
    <s v="Płatki owsiane"/>
    <n v="1000"/>
    <n v="2"/>
    <n v="8"/>
    <x v="5"/>
    <s v="Piotr"/>
    <s v="Lewandowski"/>
    <n v="16"/>
  </r>
  <r>
    <x v="6"/>
    <n v="45567"/>
    <s v="Orzechy brazylijskie"/>
    <n v="750"/>
    <n v="2"/>
    <n v="60"/>
    <x v="5"/>
    <s v="Piotr"/>
    <s v="Lewandowski"/>
    <n v="120"/>
  </r>
  <r>
    <x v="7"/>
    <n v="45614"/>
    <s v="Miód naturalny"/>
    <n v="1000"/>
    <n v="5"/>
    <n v="40"/>
    <x v="6"/>
    <s v="Michal"/>
    <s v="Wojcik"/>
    <n v="200"/>
  </r>
  <r>
    <x v="8"/>
    <n v="45584"/>
    <s v="Masło orzechowe"/>
    <n v="250"/>
    <n v="4"/>
    <n v="12"/>
    <x v="7"/>
    <s v="Joanna"/>
    <s v="Szymanska"/>
    <n v="48"/>
  </r>
  <r>
    <x v="9"/>
    <n v="45547"/>
    <s v="Jagody goji"/>
    <n v="1000"/>
    <n v="8"/>
    <n v="50"/>
    <x v="8"/>
    <s v="Andrzej"/>
    <s v="Wozniak"/>
    <n v="400"/>
  </r>
  <r>
    <x v="10"/>
    <n v="45610"/>
    <s v="Miód naturalny"/>
    <n v="500"/>
    <n v="1"/>
    <n v="20"/>
    <x v="9"/>
    <s v="Agnieszka"/>
    <s v="Dabrowska"/>
    <n v="20"/>
  </r>
  <r>
    <x v="11"/>
    <n v="45621"/>
    <s v="Masło orzechowe"/>
    <n v="250"/>
    <n v="6"/>
    <n v="12"/>
    <x v="0"/>
    <s v="Magdalena"/>
    <s v="Zielinska"/>
    <n v="72"/>
  </r>
  <r>
    <x v="12"/>
    <n v="45535"/>
    <s v="Nasiona chia"/>
    <n v="500"/>
    <n v="9"/>
    <n v="15"/>
    <x v="7"/>
    <s v="Joanna"/>
    <s v="Szymanska"/>
    <n v="135"/>
  </r>
  <r>
    <x v="13"/>
    <n v="45558"/>
    <s v="Quinoa"/>
    <n v="750"/>
    <n v="4"/>
    <n v="18.75"/>
    <x v="6"/>
    <s v="Michal"/>
    <s v="Wojcik"/>
    <n v="75"/>
  </r>
  <r>
    <x v="14"/>
    <n v="45617"/>
    <s v="Jagody goji"/>
    <n v="250"/>
    <n v="5"/>
    <n v="12.5"/>
    <x v="4"/>
    <s v="Tomasz"/>
    <s v="Wisniewski"/>
    <n v="62.5"/>
  </r>
  <r>
    <x v="15"/>
    <n v="45536"/>
    <s v="Czekolada gorzka"/>
    <n v="500"/>
    <n v="8"/>
    <n v="12"/>
    <x v="2"/>
    <s v="Katarzyna"/>
    <s v="Kaminska"/>
    <n v="96"/>
  </r>
  <r>
    <x v="16"/>
    <n v="45550"/>
    <s v="Płatki owsiane"/>
    <n v="750"/>
    <n v="3"/>
    <n v="6"/>
    <x v="3"/>
    <s v="Anna"/>
    <s v="Nowak"/>
    <n v="18"/>
  </r>
  <r>
    <x v="17"/>
    <n v="45606"/>
    <s v="Olej kokosowy"/>
    <n v="250"/>
    <n v="7"/>
    <n v="10"/>
    <x v="8"/>
    <s v="Andrzej"/>
    <s v="Wozniak"/>
    <n v="70"/>
  </r>
  <r>
    <x v="18"/>
    <n v="45532"/>
    <s v="Quinoa"/>
    <n v="500"/>
    <n v="10"/>
    <n v="12.5"/>
    <x v="1"/>
    <s v="Jan"/>
    <s v="Kowalski"/>
    <n v="125"/>
  </r>
  <r>
    <x v="19"/>
    <n v="45618"/>
    <s v="Orzechy brazylijskie"/>
    <n v="1000"/>
    <n v="5"/>
    <n v="80"/>
    <x v="0"/>
    <s v="Magdalena"/>
    <s v="Zielinska"/>
    <n v="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E602B8-E256-4E94-B38F-24B7E3AC5E8D}" name="PierwszaTabela" cacheId="9" applyNumberFormats="0" applyBorderFormats="0" applyFontFormats="0" applyPatternFormats="0" applyAlignmentFormats="0" applyWidthHeightFormats="1" dataCaption="Wartości" updatedVersion="8" minRefreshableVersion="3" useAutoFormatting="1" itemPrintTitles="1" createdVersion="5" indent="0" outline="1" outlineData="1" multipleFieldFilters="0" chartFormat="1">
  <location ref="P1:Q12" firstHeaderRow="1" firstDataRow="1" firstDataCol="1"/>
  <pivotFields count="10">
    <pivotField axis="axisRow" showAll="0">
      <items count="21">
        <item x="0"/>
        <item x="2"/>
        <item x="4"/>
        <item x="5"/>
        <item x="7"/>
        <item x="8"/>
        <item x="3"/>
        <item x="1"/>
        <item x="9"/>
        <item x="10"/>
        <item x="6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showAll="0"/>
    <pivotField axis="axisRow" showAll="0" sortType="descending">
      <items count="11">
        <item sd="0" x="1"/>
        <item sd="0" x="3"/>
        <item sd="0" x="4"/>
        <item sd="0" x="2"/>
        <item sd="0" x="5"/>
        <item sd="0" x="0"/>
        <item sd="0" x="6"/>
        <item sd="0" x="7"/>
        <item sd="0" x="8"/>
        <item sd="0" x="9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</pivotFields>
  <rowFields count="2">
    <field x="6"/>
    <field x="0"/>
  </rowFields>
  <rowItems count="11">
    <i>
      <x v="5"/>
    </i>
    <i>
      <x v="8"/>
    </i>
    <i>
      <x v="3"/>
    </i>
    <i>
      <x v="2"/>
    </i>
    <i>
      <x v="6"/>
    </i>
    <i>
      <x/>
    </i>
    <i>
      <x v="7"/>
    </i>
    <i>
      <x v="4"/>
    </i>
    <i>
      <x v="1"/>
    </i>
    <i>
      <x v="9"/>
    </i>
    <i t="grand">
      <x/>
    </i>
  </rowItems>
  <colItems count="1">
    <i/>
  </colItems>
  <dataFields count="1">
    <dataField name="Suma z Sprzedaz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74E8477A-6502-4F24-9FC0-7F912E0D060B}" autoFormatId="16" applyNumberFormats="0" applyBorderFormats="0" applyFontFormats="1" applyPatternFormats="1" applyAlignmentFormats="0" applyWidthHeightFormats="0">
  <queryTableRefresh nextId="11" unboundColumnsRight="1">
    <queryTableFields count="10">
      <queryTableField id="1" name="ID_Zamowienia" tableColumnId="10"/>
      <queryTableField id="2" name="DataZam" tableColumnId="11"/>
      <queryTableField id="3" name="Produkt" tableColumnId="12"/>
      <queryTableField id="4" name="PojemnoscGram" tableColumnId="13"/>
      <queryTableField id="5" name="LiczbaSzt" tableColumnId="14"/>
      <queryTableField id="6" name="Cena" tableColumnId="15"/>
      <queryTableField id="7" name="ID_Sprzedawcy" tableColumnId="16"/>
      <queryTableField id="8" name="Imie" tableColumnId="17"/>
      <queryTableField id="9" name="Nazwisko" tableColumnId="18"/>
      <queryTableField id="10" dataBound="0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2A5A6B6-E5A8-4933-BD2B-DC6B144D2A4D}" name="Kwerenda_DaneModelu" displayName="Kwerenda_DaneModelu" ref="A1:J21" tableType="queryTable" totalsRowShown="0">
  <autoFilter ref="A1:J21" xr:uid="{92A5A6B6-E5A8-4933-BD2B-DC6B144D2A4D}"/>
  <tableColumns count="10">
    <tableColumn id="10" xr3:uid="{B82FFD49-8250-4641-9C61-A2BD2E0B86CF}" uniqueName="10" name="ID_Zamowienia" queryTableFieldId="1"/>
    <tableColumn id="11" xr3:uid="{88D2CC7A-50FB-4705-8823-BA0CA00A7453}" uniqueName="11" name="DataZam" queryTableFieldId="2"/>
    <tableColumn id="12" xr3:uid="{6CAEAD39-C72A-4A94-B40B-59777B749434}" uniqueName="12" name="Produkt" queryTableFieldId="3"/>
    <tableColumn id="13" xr3:uid="{07041303-4886-4CD7-B8B2-888C96FB1D40}" uniqueName="13" name="PojemnoscGram" queryTableFieldId="4"/>
    <tableColumn id="14" xr3:uid="{F4CF2DEC-89E5-4B3D-8B9A-7D73A428191C}" uniqueName="14" name="LiczbaSzt" queryTableFieldId="5"/>
    <tableColumn id="15" xr3:uid="{7108F1E5-D25B-47D0-B7E9-B5A91FCCF9BE}" uniqueName="15" name="Cena" queryTableFieldId="6"/>
    <tableColumn id="16" xr3:uid="{A2973CED-23BA-4092-9D0F-E592B58B7299}" uniqueName="16" name="ID_Sprzedawcy" queryTableFieldId="7"/>
    <tableColumn id="17" xr3:uid="{2D6625D0-C5D6-4AD3-B823-59AF153F4362}" uniqueName="17" name="Imie" queryTableFieldId="8"/>
    <tableColumn id="18" xr3:uid="{3D37E0CD-1088-4A34-AE08-FB1FBC120632}" uniqueName="18" name="Nazwisko" queryTableFieldId="9"/>
    <tableColumn id="19" xr3:uid="{323FA14A-7B2F-4CA5-88DB-224DA028F985}" uniqueName="19" name="Sprzedaz" queryTableFieldId="10" dataDxfId="0">
      <calculatedColumnFormula>Kwerenda_DaneModelu[[#This Row],[LiczbaSzt]]*Kwerenda_DaneModelu[[#This Row],[Cena]]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5794349-AFCA-4A89-8AF2-AC5B6130EA6E}" name="Tabela_Sprzedawcy" displayName="Tabela_Sprzedawcy" ref="A1:C11" totalsRowShown="0" headerRowDxfId="1" dataDxfId="2">
  <autoFilter ref="A1:C11" xr:uid="{55794349-AFCA-4A89-8AF2-AC5B6130EA6E}"/>
  <tableColumns count="3">
    <tableColumn id="1" xr3:uid="{0D3C357B-7118-4972-B428-1D103FD43044}" name="ID_Sprzedawcy" dataDxfId="5"/>
    <tableColumn id="2" xr3:uid="{C5CA8C01-73E3-4234-9EC4-4D13D203168C}" name="Imie" dataDxfId="4"/>
    <tableColumn id="3" xr3:uid="{EAA01599-0F9B-4449-97D5-DC068E5768ED}" name="Nazwisko" dataDxfId="3"/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86193D1-7A79-4CA2-8E20-36E07C17E834}" name="Tabela_Produkty" displayName="Tabela_Produkty" ref="A1:G21" totalsRowShown="0" headerRowDxfId="6" dataDxfId="7">
  <autoFilter ref="A1:G21" xr:uid="{A86193D1-7A79-4CA2-8E20-36E07C17E834}"/>
  <tableColumns count="7">
    <tableColumn id="1" xr3:uid="{087191D4-7DA6-4B82-A508-716203FBBB21}" name="ID_Zamowienia" dataDxfId="14"/>
    <tableColumn id="2" xr3:uid="{C45B61E2-B662-4044-82DD-27C1EA5AC553}" name="DataZam" dataDxfId="13"/>
    <tableColumn id="3" xr3:uid="{2B81B226-C668-4EF3-9F8D-45E6C45E0D7E}" name="Produkt" dataDxfId="12"/>
    <tableColumn id="4" xr3:uid="{EA839110-2E98-4DB7-82D8-3AED1725C1F6}" name="PojemnoscGram" dataDxfId="11"/>
    <tableColumn id="5" xr3:uid="{BB6272CE-2F08-4FFB-AEE7-A070071A7B94}" name="LiczbaSzt" dataDxfId="10"/>
    <tableColumn id="6" xr3:uid="{7C02CFE9-0785-4218-8B68-2122466C1832}" name="Cena" dataDxfId="9"/>
    <tableColumn id="7" xr3:uid="{F9EF4F9B-2013-4039-987A-483DFBA228E7}" name="ID_Sprzedawcy" dataDxfId="8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8374-0C69-405E-9FC6-00D98BA3A97A}">
  <sheetPr codeName="Arkusz12"/>
  <dimension ref="A1:Q21"/>
  <sheetViews>
    <sheetView tabSelected="1" topLeftCell="C1" workbookViewId="0">
      <selection activeCell="R29" sqref="R29"/>
    </sheetView>
  </sheetViews>
  <sheetFormatPr defaultRowHeight="14.5" x14ac:dyDescent="0.35"/>
  <cols>
    <col min="1" max="1" width="16" bestFit="1" customWidth="1"/>
    <col min="2" max="2" width="10.6328125" bestFit="1" customWidth="1"/>
    <col min="3" max="3" width="16.81640625" bestFit="1" customWidth="1"/>
    <col min="4" max="4" width="17" bestFit="1" customWidth="1"/>
    <col min="5" max="5" width="11" bestFit="1" customWidth="1"/>
    <col min="6" max="6" width="7.453125" bestFit="1" customWidth="1"/>
    <col min="7" max="7" width="15.81640625" bestFit="1" customWidth="1"/>
    <col min="8" max="8" width="9.6328125" bestFit="1" customWidth="1"/>
    <col min="9" max="9" width="11.54296875" bestFit="1" customWidth="1"/>
    <col min="16" max="16" width="16.36328125" bestFit="1" customWidth="1"/>
    <col min="17" max="17" width="14.81640625" bestFit="1" customWidth="1"/>
  </cols>
  <sheetData>
    <row r="1" spans="1:17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16</v>
      </c>
      <c r="I1" t="s">
        <v>17</v>
      </c>
      <c r="J1" t="s">
        <v>38</v>
      </c>
      <c r="P1" s="2" t="s">
        <v>39</v>
      </c>
      <c r="Q1" t="s">
        <v>41</v>
      </c>
    </row>
    <row r="2" spans="1:17" x14ac:dyDescent="0.35">
      <c r="A2">
        <v>1</v>
      </c>
      <c r="B2">
        <v>45534</v>
      </c>
      <c r="C2" t="s">
        <v>7</v>
      </c>
      <c r="D2">
        <v>500</v>
      </c>
      <c r="E2">
        <v>6</v>
      </c>
      <c r="F2">
        <v>15</v>
      </c>
      <c r="G2">
        <v>6</v>
      </c>
      <c r="H2" t="s">
        <v>28</v>
      </c>
      <c r="I2" t="s">
        <v>29</v>
      </c>
      <c r="J2">
        <f>Kwerenda_DaneModelu[[#This Row],[LiczbaSzt]]*Kwerenda_DaneModelu[[#This Row],[Cena]]</f>
        <v>90</v>
      </c>
      <c r="P2" s="3">
        <v>6</v>
      </c>
      <c r="Q2" s="4">
        <v>562</v>
      </c>
    </row>
    <row r="3" spans="1:17" x14ac:dyDescent="0.35">
      <c r="A3">
        <v>8</v>
      </c>
      <c r="B3">
        <v>45530</v>
      </c>
      <c r="C3" t="s">
        <v>14</v>
      </c>
      <c r="D3">
        <v>750</v>
      </c>
      <c r="E3">
        <v>7</v>
      </c>
      <c r="F3">
        <v>18</v>
      </c>
      <c r="G3">
        <v>1</v>
      </c>
      <c r="H3" t="s">
        <v>18</v>
      </c>
      <c r="I3" t="s">
        <v>19</v>
      </c>
      <c r="J3">
        <f>Kwerenda_DaneModelu[[#This Row],[LiczbaSzt]]*Kwerenda_DaneModelu[[#This Row],[Cena]]</f>
        <v>126</v>
      </c>
      <c r="P3" s="3">
        <v>9</v>
      </c>
      <c r="Q3" s="4">
        <v>470</v>
      </c>
    </row>
    <row r="4" spans="1:17" x14ac:dyDescent="0.35">
      <c r="A4">
        <v>2</v>
      </c>
      <c r="B4">
        <v>45622</v>
      </c>
      <c r="C4" t="s">
        <v>8</v>
      </c>
      <c r="D4">
        <v>750</v>
      </c>
      <c r="E4">
        <v>6</v>
      </c>
      <c r="F4">
        <v>60</v>
      </c>
      <c r="G4">
        <v>4</v>
      </c>
      <c r="H4" t="s">
        <v>24</v>
      </c>
      <c r="I4" t="s">
        <v>25</v>
      </c>
      <c r="J4">
        <f>Kwerenda_DaneModelu[[#This Row],[LiczbaSzt]]*Kwerenda_DaneModelu[[#This Row],[Cena]]</f>
        <v>360</v>
      </c>
      <c r="P4" s="3">
        <v>4</v>
      </c>
      <c r="Q4" s="4">
        <v>456</v>
      </c>
    </row>
    <row r="5" spans="1:17" x14ac:dyDescent="0.35">
      <c r="A5">
        <v>7</v>
      </c>
      <c r="B5">
        <v>45538</v>
      </c>
      <c r="C5" t="s">
        <v>13</v>
      </c>
      <c r="D5">
        <v>500</v>
      </c>
      <c r="E5">
        <v>3</v>
      </c>
      <c r="F5">
        <v>20</v>
      </c>
      <c r="G5">
        <v>2</v>
      </c>
      <c r="H5" t="s">
        <v>20</v>
      </c>
      <c r="I5" t="s">
        <v>21</v>
      </c>
      <c r="J5">
        <f>Kwerenda_DaneModelu[[#This Row],[LiczbaSzt]]*Kwerenda_DaneModelu[[#This Row],[Cena]]</f>
        <v>60</v>
      </c>
      <c r="P5" s="3">
        <v>3</v>
      </c>
      <c r="Q5" s="4">
        <v>287.5</v>
      </c>
    </row>
    <row r="6" spans="1:17" x14ac:dyDescent="0.35">
      <c r="A6">
        <v>3</v>
      </c>
      <c r="B6">
        <v>45578</v>
      </c>
      <c r="C6" t="s">
        <v>9</v>
      </c>
      <c r="D6">
        <v>1000</v>
      </c>
      <c r="E6">
        <v>9</v>
      </c>
      <c r="F6">
        <v>25</v>
      </c>
      <c r="G6">
        <v>3</v>
      </c>
      <c r="H6" t="s">
        <v>22</v>
      </c>
      <c r="I6" t="s">
        <v>23</v>
      </c>
      <c r="J6">
        <f>Kwerenda_DaneModelu[[#This Row],[LiczbaSzt]]*Kwerenda_DaneModelu[[#This Row],[Cena]]</f>
        <v>225</v>
      </c>
      <c r="P6" s="3">
        <v>7</v>
      </c>
      <c r="Q6" s="4">
        <v>275</v>
      </c>
    </row>
    <row r="7" spans="1:17" x14ac:dyDescent="0.35">
      <c r="A7">
        <v>4</v>
      </c>
      <c r="B7">
        <v>45528</v>
      </c>
      <c r="C7" t="s">
        <v>10</v>
      </c>
      <c r="D7">
        <v>1000</v>
      </c>
      <c r="E7">
        <v>2</v>
      </c>
      <c r="F7">
        <v>8</v>
      </c>
      <c r="G7">
        <v>5</v>
      </c>
      <c r="H7" t="s">
        <v>26</v>
      </c>
      <c r="I7" t="s">
        <v>27</v>
      </c>
      <c r="J7">
        <f>Kwerenda_DaneModelu[[#This Row],[LiczbaSzt]]*Kwerenda_DaneModelu[[#This Row],[Cena]]</f>
        <v>16</v>
      </c>
      <c r="P7" s="3">
        <v>1</v>
      </c>
      <c r="Q7" s="4">
        <v>251</v>
      </c>
    </row>
    <row r="8" spans="1:17" x14ac:dyDescent="0.35">
      <c r="A8">
        <v>11</v>
      </c>
      <c r="B8">
        <v>45567</v>
      </c>
      <c r="C8" t="s">
        <v>8</v>
      </c>
      <c r="D8">
        <v>750</v>
      </c>
      <c r="E8">
        <v>2</v>
      </c>
      <c r="F8">
        <v>60</v>
      </c>
      <c r="G8">
        <v>5</v>
      </c>
      <c r="H8" t="s">
        <v>26</v>
      </c>
      <c r="I8" t="s">
        <v>27</v>
      </c>
      <c r="J8">
        <f>Kwerenda_DaneModelu[[#This Row],[LiczbaSzt]]*Kwerenda_DaneModelu[[#This Row],[Cena]]</f>
        <v>120</v>
      </c>
      <c r="P8" s="3">
        <v>8</v>
      </c>
      <c r="Q8" s="4">
        <v>183</v>
      </c>
    </row>
    <row r="9" spans="1:17" x14ac:dyDescent="0.35">
      <c r="A9">
        <v>5</v>
      </c>
      <c r="B9">
        <v>45614</v>
      </c>
      <c r="C9" t="s">
        <v>11</v>
      </c>
      <c r="D9">
        <v>1000</v>
      </c>
      <c r="E9">
        <v>5</v>
      </c>
      <c r="F9">
        <v>40</v>
      </c>
      <c r="G9">
        <v>7</v>
      </c>
      <c r="H9" t="s">
        <v>30</v>
      </c>
      <c r="I9" t="s">
        <v>31</v>
      </c>
      <c r="J9">
        <f>Kwerenda_DaneModelu[[#This Row],[LiczbaSzt]]*Kwerenda_DaneModelu[[#This Row],[Cena]]</f>
        <v>200</v>
      </c>
      <c r="P9" s="3">
        <v>5</v>
      </c>
      <c r="Q9" s="4">
        <v>136</v>
      </c>
    </row>
    <row r="10" spans="1:17" x14ac:dyDescent="0.35">
      <c r="A10">
        <v>6</v>
      </c>
      <c r="B10">
        <v>45584</v>
      </c>
      <c r="C10" t="s">
        <v>12</v>
      </c>
      <c r="D10">
        <v>250</v>
      </c>
      <c r="E10">
        <v>4</v>
      </c>
      <c r="F10">
        <v>12</v>
      </c>
      <c r="G10">
        <v>8</v>
      </c>
      <c r="H10" t="s">
        <v>32</v>
      </c>
      <c r="I10" t="s">
        <v>33</v>
      </c>
      <c r="J10">
        <f>Kwerenda_DaneModelu[[#This Row],[LiczbaSzt]]*Kwerenda_DaneModelu[[#This Row],[Cena]]</f>
        <v>48</v>
      </c>
      <c r="P10" s="3">
        <v>2</v>
      </c>
      <c r="Q10" s="4">
        <v>78</v>
      </c>
    </row>
    <row r="11" spans="1:17" x14ac:dyDescent="0.35">
      <c r="A11">
        <v>9</v>
      </c>
      <c r="B11">
        <v>45547</v>
      </c>
      <c r="C11" t="s">
        <v>15</v>
      </c>
      <c r="D11">
        <v>1000</v>
      </c>
      <c r="E11">
        <v>8</v>
      </c>
      <c r="F11">
        <v>50</v>
      </c>
      <c r="G11">
        <v>9</v>
      </c>
      <c r="H11" t="s">
        <v>34</v>
      </c>
      <c r="I11" t="s">
        <v>35</v>
      </c>
      <c r="J11">
        <f>Kwerenda_DaneModelu[[#This Row],[LiczbaSzt]]*Kwerenda_DaneModelu[[#This Row],[Cena]]</f>
        <v>400</v>
      </c>
      <c r="P11" s="3">
        <v>10</v>
      </c>
      <c r="Q11" s="4">
        <v>20</v>
      </c>
    </row>
    <row r="12" spans="1:17" x14ac:dyDescent="0.35">
      <c r="A12">
        <v>10</v>
      </c>
      <c r="B12">
        <v>45610</v>
      </c>
      <c r="C12" t="s">
        <v>11</v>
      </c>
      <c r="D12">
        <v>500</v>
      </c>
      <c r="E12">
        <v>1</v>
      </c>
      <c r="F12">
        <v>20</v>
      </c>
      <c r="G12">
        <v>10</v>
      </c>
      <c r="H12" t="s">
        <v>36</v>
      </c>
      <c r="I12" t="s">
        <v>37</v>
      </c>
      <c r="J12">
        <f>Kwerenda_DaneModelu[[#This Row],[LiczbaSzt]]*Kwerenda_DaneModelu[[#This Row],[Cena]]</f>
        <v>20</v>
      </c>
      <c r="P12" s="3" t="s">
        <v>40</v>
      </c>
      <c r="Q12" s="4">
        <v>2718.5</v>
      </c>
    </row>
    <row r="13" spans="1:17" x14ac:dyDescent="0.35">
      <c r="A13">
        <v>12</v>
      </c>
      <c r="B13">
        <v>45621</v>
      </c>
      <c r="C13" t="s">
        <v>12</v>
      </c>
      <c r="D13">
        <v>250</v>
      </c>
      <c r="E13">
        <v>6</v>
      </c>
      <c r="F13">
        <v>12</v>
      </c>
      <c r="G13">
        <v>6</v>
      </c>
      <c r="H13" t="s">
        <v>28</v>
      </c>
      <c r="I13" t="s">
        <v>29</v>
      </c>
      <c r="J13">
        <f>Kwerenda_DaneModelu[[#This Row],[LiczbaSzt]]*Kwerenda_DaneModelu[[#This Row],[Cena]]</f>
        <v>72</v>
      </c>
    </row>
    <row r="14" spans="1:17" x14ac:dyDescent="0.35">
      <c r="A14">
        <v>13</v>
      </c>
      <c r="B14">
        <v>45535</v>
      </c>
      <c r="C14" t="s">
        <v>7</v>
      </c>
      <c r="D14">
        <v>500</v>
      </c>
      <c r="E14">
        <v>9</v>
      </c>
      <c r="F14">
        <v>15</v>
      </c>
      <c r="G14">
        <v>8</v>
      </c>
      <c r="H14" t="s">
        <v>32</v>
      </c>
      <c r="I14" t="s">
        <v>33</v>
      </c>
      <c r="J14">
        <f>Kwerenda_DaneModelu[[#This Row],[LiczbaSzt]]*Kwerenda_DaneModelu[[#This Row],[Cena]]</f>
        <v>135</v>
      </c>
    </row>
    <row r="15" spans="1:17" x14ac:dyDescent="0.35">
      <c r="A15">
        <v>14</v>
      </c>
      <c r="B15">
        <v>45558</v>
      </c>
      <c r="C15" t="s">
        <v>9</v>
      </c>
      <c r="D15">
        <v>750</v>
      </c>
      <c r="E15">
        <v>4</v>
      </c>
      <c r="F15">
        <v>18.75</v>
      </c>
      <c r="G15">
        <v>7</v>
      </c>
      <c r="H15" t="s">
        <v>30</v>
      </c>
      <c r="I15" t="s">
        <v>31</v>
      </c>
      <c r="J15">
        <f>Kwerenda_DaneModelu[[#This Row],[LiczbaSzt]]*Kwerenda_DaneModelu[[#This Row],[Cena]]</f>
        <v>75</v>
      </c>
    </row>
    <row r="16" spans="1:17" x14ac:dyDescent="0.35">
      <c r="A16">
        <v>15</v>
      </c>
      <c r="B16">
        <v>45617</v>
      </c>
      <c r="C16" t="s">
        <v>15</v>
      </c>
      <c r="D16">
        <v>250</v>
      </c>
      <c r="E16">
        <v>5</v>
      </c>
      <c r="F16">
        <v>12.5</v>
      </c>
      <c r="G16">
        <v>3</v>
      </c>
      <c r="H16" t="s">
        <v>22</v>
      </c>
      <c r="I16" t="s">
        <v>23</v>
      </c>
      <c r="J16">
        <f>Kwerenda_DaneModelu[[#This Row],[LiczbaSzt]]*Kwerenda_DaneModelu[[#This Row],[Cena]]</f>
        <v>62.5</v>
      </c>
    </row>
    <row r="17" spans="1:10" x14ac:dyDescent="0.35">
      <c r="A17">
        <v>16</v>
      </c>
      <c r="B17">
        <v>45536</v>
      </c>
      <c r="C17" t="s">
        <v>14</v>
      </c>
      <c r="D17">
        <v>500</v>
      </c>
      <c r="E17">
        <v>8</v>
      </c>
      <c r="F17">
        <v>12</v>
      </c>
      <c r="G17">
        <v>4</v>
      </c>
      <c r="H17" t="s">
        <v>24</v>
      </c>
      <c r="I17" t="s">
        <v>25</v>
      </c>
      <c r="J17">
        <f>Kwerenda_DaneModelu[[#This Row],[LiczbaSzt]]*Kwerenda_DaneModelu[[#This Row],[Cena]]</f>
        <v>96</v>
      </c>
    </row>
    <row r="18" spans="1:10" x14ac:dyDescent="0.35">
      <c r="A18">
        <v>17</v>
      </c>
      <c r="B18">
        <v>45550</v>
      </c>
      <c r="C18" t="s">
        <v>10</v>
      </c>
      <c r="D18">
        <v>750</v>
      </c>
      <c r="E18">
        <v>3</v>
      </c>
      <c r="F18">
        <v>6</v>
      </c>
      <c r="G18">
        <v>2</v>
      </c>
      <c r="H18" t="s">
        <v>20</v>
      </c>
      <c r="I18" t="s">
        <v>21</v>
      </c>
      <c r="J18">
        <f>Kwerenda_DaneModelu[[#This Row],[LiczbaSzt]]*Kwerenda_DaneModelu[[#This Row],[Cena]]</f>
        <v>18</v>
      </c>
    </row>
    <row r="19" spans="1:10" x14ac:dyDescent="0.35">
      <c r="A19">
        <v>18</v>
      </c>
      <c r="B19">
        <v>45606</v>
      </c>
      <c r="C19" t="s">
        <v>13</v>
      </c>
      <c r="D19">
        <v>250</v>
      </c>
      <c r="E19">
        <v>7</v>
      </c>
      <c r="F19">
        <v>10</v>
      </c>
      <c r="G19">
        <v>9</v>
      </c>
      <c r="H19" t="s">
        <v>34</v>
      </c>
      <c r="I19" t="s">
        <v>35</v>
      </c>
      <c r="J19">
        <f>Kwerenda_DaneModelu[[#This Row],[LiczbaSzt]]*Kwerenda_DaneModelu[[#This Row],[Cena]]</f>
        <v>70</v>
      </c>
    </row>
    <row r="20" spans="1:10" x14ac:dyDescent="0.35">
      <c r="A20">
        <v>19</v>
      </c>
      <c r="B20">
        <v>45532</v>
      </c>
      <c r="C20" t="s">
        <v>9</v>
      </c>
      <c r="D20">
        <v>500</v>
      </c>
      <c r="E20">
        <v>10</v>
      </c>
      <c r="F20">
        <v>12.5</v>
      </c>
      <c r="G20">
        <v>1</v>
      </c>
      <c r="H20" t="s">
        <v>18</v>
      </c>
      <c r="I20" t="s">
        <v>19</v>
      </c>
      <c r="J20">
        <f>Kwerenda_DaneModelu[[#This Row],[LiczbaSzt]]*Kwerenda_DaneModelu[[#This Row],[Cena]]</f>
        <v>125</v>
      </c>
    </row>
    <row r="21" spans="1:10" x14ac:dyDescent="0.35">
      <c r="A21">
        <v>20</v>
      </c>
      <c r="B21">
        <v>45618</v>
      </c>
      <c r="C21" t="s">
        <v>8</v>
      </c>
      <c r="D21">
        <v>1000</v>
      </c>
      <c r="E21">
        <v>5</v>
      </c>
      <c r="F21">
        <v>80</v>
      </c>
      <c r="G21">
        <v>6</v>
      </c>
      <c r="H21" t="s">
        <v>28</v>
      </c>
      <c r="I21" t="s">
        <v>29</v>
      </c>
      <c r="J21">
        <f>Kwerenda_DaneModelu[[#This Row],[LiczbaSzt]]*Kwerenda_DaneModelu[[#This Row],[Cena]]</f>
        <v>400</v>
      </c>
    </row>
  </sheetData>
  <phoneticPr fontId="2" type="noConversion"/>
  <pageMargins left="0.7" right="0.7" top="0.75" bottom="0.75" header="0.3" footer="0.3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5081-BBD4-4694-A65E-3C96813CC8B8}">
  <sheetPr codeName="Arkusz11"/>
  <dimension ref="A1:C11"/>
  <sheetViews>
    <sheetView workbookViewId="0">
      <selection activeCell="O24" sqref="O24"/>
    </sheetView>
  </sheetViews>
  <sheetFormatPr defaultRowHeight="14.5" x14ac:dyDescent="0.35"/>
  <cols>
    <col min="1" max="1" width="15.81640625" bestFit="1" customWidth="1"/>
    <col min="2" max="2" width="9.90625" bestFit="1" customWidth="1"/>
    <col min="3" max="3" width="12.08984375" bestFit="1" customWidth="1"/>
  </cols>
  <sheetData>
    <row r="1" spans="1:3" x14ac:dyDescent="0.35">
      <c r="A1" s="1" t="s">
        <v>6</v>
      </c>
      <c r="B1" s="1" t="s">
        <v>16</v>
      </c>
      <c r="C1" s="1" t="s">
        <v>17</v>
      </c>
    </row>
    <row r="2" spans="1:3" x14ac:dyDescent="0.35">
      <c r="A2" s="1">
        <v>1</v>
      </c>
      <c r="B2" s="1" t="s">
        <v>18</v>
      </c>
      <c r="C2" s="1" t="s">
        <v>19</v>
      </c>
    </row>
    <row r="3" spans="1:3" x14ac:dyDescent="0.35">
      <c r="A3" s="1">
        <v>2</v>
      </c>
      <c r="B3" s="1" t="s">
        <v>20</v>
      </c>
      <c r="C3" s="1" t="s">
        <v>21</v>
      </c>
    </row>
    <row r="4" spans="1:3" x14ac:dyDescent="0.35">
      <c r="A4" s="1">
        <v>3</v>
      </c>
      <c r="B4" s="1" t="s">
        <v>22</v>
      </c>
      <c r="C4" s="1" t="s">
        <v>23</v>
      </c>
    </row>
    <row r="5" spans="1:3" x14ac:dyDescent="0.35">
      <c r="A5" s="1">
        <v>4</v>
      </c>
      <c r="B5" s="1" t="s">
        <v>24</v>
      </c>
      <c r="C5" s="1" t="s">
        <v>25</v>
      </c>
    </row>
    <row r="6" spans="1:3" x14ac:dyDescent="0.35">
      <c r="A6" s="1">
        <v>5</v>
      </c>
      <c r="B6" s="1" t="s">
        <v>26</v>
      </c>
      <c r="C6" s="1" t="s">
        <v>27</v>
      </c>
    </row>
    <row r="7" spans="1:3" x14ac:dyDescent="0.35">
      <c r="A7" s="1">
        <v>6</v>
      </c>
      <c r="B7" s="1" t="s">
        <v>28</v>
      </c>
      <c r="C7" s="1" t="s">
        <v>29</v>
      </c>
    </row>
    <row r="8" spans="1:3" x14ac:dyDescent="0.35">
      <c r="A8" s="1">
        <v>7</v>
      </c>
      <c r="B8" s="1" t="s">
        <v>30</v>
      </c>
      <c r="C8" s="1" t="s">
        <v>31</v>
      </c>
    </row>
    <row r="9" spans="1:3" x14ac:dyDescent="0.35">
      <c r="A9" s="1">
        <v>8</v>
      </c>
      <c r="B9" s="1" t="s">
        <v>32</v>
      </c>
      <c r="C9" s="1" t="s">
        <v>33</v>
      </c>
    </row>
    <row r="10" spans="1:3" x14ac:dyDescent="0.35">
      <c r="A10" s="1">
        <v>9</v>
      </c>
      <c r="B10" s="1" t="s">
        <v>34</v>
      </c>
      <c r="C10" s="1" t="s">
        <v>35</v>
      </c>
    </row>
    <row r="11" spans="1:3" x14ac:dyDescent="0.35">
      <c r="A11" s="1">
        <v>10</v>
      </c>
      <c r="B11" s="1" t="s">
        <v>36</v>
      </c>
      <c r="C11" s="1" t="s">
        <v>37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2578A-6C0C-4D3C-981E-C32A3082A115}">
  <sheetPr codeName="Arkusz10"/>
  <dimension ref="A1:G21"/>
  <sheetViews>
    <sheetView workbookViewId="0">
      <selection activeCell="D43" sqref="D43"/>
    </sheetView>
  </sheetViews>
  <sheetFormatPr defaultRowHeight="14.5" x14ac:dyDescent="0.35"/>
  <cols>
    <col min="1" max="1" width="16" bestFit="1" customWidth="1"/>
    <col min="2" max="2" width="10.6328125" bestFit="1" customWidth="1"/>
    <col min="3" max="3" width="17.6328125" bestFit="1" customWidth="1"/>
    <col min="4" max="4" width="17" bestFit="1" customWidth="1"/>
    <col min="5" max="5" width="11" bestFit="1" customWidth="1"/>
    <col min="6" max="6" width="7.453125" bestFit="1" customWidth="1"/>
    <col min="7" max="7" width="15.81640625" bestFit="1" customWidth="1"/>
  </cols>
  <sheetData>
    <row r="1" spans="1: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5">
      <c r="A2" s="1">
        <v>1</v>
      </c>
      <c r="B2" s="1">
        <v>45534</v>
      </c>
      <c r="C2" s="1" t="s">
        <v>7</v>
      </c>
      <c r="D2" s="1">
        <v>500</v>
      </c>
      <c r="E2" s="1">
        <v>6</v>
      </c>
      <c r="F2" s="1">
        <v>15</v>
      </c>
      <c r="G2" s="1">
        <v>6</v>
      </c>
    </row>
    <row r="3" spans="1:7" x14ac:dyDescent="0.35">
      <c r="A3" s="1">
        <v>2</v>
      </c>
      <c r="B3" s="1">
        <v>45622</v>
      </c>
      <c r="C3" s="1" t="s">
        <v>8</v>
      </c>
      <c r="D3" s="1">
        <v>750</v>
      </c>
      <c r="E3" s="1">
        <v>6</v>
      </c>
      <c r="F3" s="1">
        <v>60</v>
      </c>
      <c r="G3" s="1">
        <v>4</v>
      </c>
    </row>
    <row r="4" spans="1:7" x14ac:dyDescent="0.35">
      <c r="A4" s="1">
        <v>3</v>
      </c>
      <c r="B4" s="1">
        <v>45578</v>
      </c>
      <c r="C4" s="1" t="s">
        <v>9</v>
      </c>
      <c r="D4" s="1">
        <v>1000</v>
      </c>
      <c r="E4" s="1">
        <v>9</v>
      </c>
      <c r="F4" s="1">
        <v>25</v>
      </c>
      <c r="G4" s="1">
        <v>3</v>
      </c>
    </row>
    <row r="5" spans="1:7" x14ac:dyDescent="0.35">
      <c r="A5" s="1">
        <v>4</v>
      </c>
      <c r="B5" s="1">
        <v>45528</v>
      </c>
      <c r="C5" s="1" t="s">
        <v>10</v>
      </c>
      <c r="D5" s="1">
        <v>1000</v>
      </c>
      <c r="E5" s="1">
        <v>2</v>
      </c>
      <c r="F5" s="1">
        <v>8</v>
      </c>
      <c r="G5" s="1">
        <v>5</v>
      </c>
    </row>
    <row r="6" spans="1:7" x14ac:dyDescent="0.35">
      <c r="A6" s="1">
        <v>5</v>
      </c>
      <c r="B6" s="1">
        <v>45614</v>
      </c>
      <c r="C6" s="1" t="s">
        <v>11</v>
      </c>
      <c r="D6" s="1">
        <v>1000</v>
      </c>
      <c r="E6" s="1">
        <v>5</v>
      </c>
      <c r="F6" s="1">
        <v>40</v>
      </c>
      <c r="G6" s="1">
        <v>7</v>
      </c>
    </row>
    <row r="7" spans="1:7" x14ac:dyDescent="0.35">
      <c r="A7" s="1">
        <v>6</v>
      </c>
      <c r="B7" s="1">
        <v>45584</v>
      </c>
      <c r="C7" s="1" t="s">
        <v>12</v>
      </c>
      <c r="D7" s="1">
        <v>250</v>
      </c>
      <c r="E7" s="1">
        <v>4</v>
      </c>
      <c r="F7" s="1">
        <v>12</v>
      </c>
      <c r="G7" s="1">
        <v>8</v>
      </c>
    </row>
    <row r="8" spans="1:7" x14ac:dyDescent="0.35">
      <c r="A8" s="1">
        <v>7</v>
      </c>
      <c r="B8" s="1">
        <v>45538</v>
      </c>
      <c r="C8" s="1" t="s">
        <v>13</v>
      </c>
      <c r="D8" s="1">
        <v>500</v>
      </c>
      <c r="E8" s="1">
        <v>3</v>
      </c>
      <c r="F8" s="1">
        <v>20</v>
      </c>
      <c r="G8" s="1">
        <v>2</v>
      </c>
    </row>
    <row r="9" spans="1:7" x14ac:dyDescent="0.35">
      <c r="A9" s="1">
        <v>8</v>
      </c>
      <c r="B9" s="1">
        <v>45530</v>
      </c>
      <c r="C9" s="1" t="s">
        <v>14</v>
      </c>
      <c r="D9" s="1">
        <v>750</v>
      </c>
      <c r="E9" s="1">
        <v>7</v>
      </c>
      <c r="F9" s="1">
        <v>18</v>
      </c>
      <c r="G9" s="1">
        <v>1</v>
      </c>
    </row>
    <row r="10" spans="1:7" x14ac:dyDescent="0.35">
      <c r="A10" s="1">
        <v>9</v>
      </c>
      <c r="B10" s="1">
        <v>45547</v>
      </c>
      <c r="C10" s="1" t="s">
        <v>15</v>
      </c>
      <c r="D10" s="1">
        <v>1000</v>
      </c>
      <c r="E10" s="1">
        <v>8</v>
      </c>
      <c r="F10" s="1">
        <v>50</v>
      </c>
      <c r="G10" s="1">
        <v>9</v>
      </c>
    </row>
    <row r="11" spans="1:7" x14ac:dyDescent="0.35">
      <c r="A11" s="1">
        <v>10</v>
      </c>
      <c r="B11" s="1">
        <v>45610</v>
      </c>
      <c r="C11" s="1" t="s">
        <v>11</v>
      </c>
      <c r="D11" s="1">
        <v>500</v>
      </c>
      <c r="E11" s="1">
        <v>1</v>
      </c>
      <c r="F11" s="1">
        <v>20</v>
      </c>
      <c r="G11" s="1">
        <v>10</v>
      </c>
    </row>
    <row r="12" spans="1:7" x14ac:dyDescent="0.35">
      <c r="A12" s="1">
        <v>11</v>
      </c>
      <c r="B12" s="1">
        <v>45567</v>
      </c>
      <c r="C12" s="1" t="s">
        <v>8</v>
      </c>
      <c r="D12" s="1">
        <v>750</v>
      </c>
      <c r="E12" s="1">
        <v>2</v>
      </c>
      <c r="F12" s="1">
        <v>60</v>
      </c>
      <c r="G12" s="1">
        <v>5</v>
      </c>
    </row>
    <row r="13" spans="1:7" x14ac:dyDescent="0.35">
      <c r="A13" s="1">
        <v>12</v>
      </c>
      <c r="B13" s="1">
        <v>45621</v>
      </c>
      <c r="C13" s="1" t="s">
        <v>12</v>
      </c>
      <c r="D13" s="1">
        <v>250</v>
      </c>
      <c r="E13" s="1">
        <v>6</v>
      </c>
      <c r="F13" s="1">
        <v>12</v>
      </c>
      <c r="G13" s="1">
        <v>6</v>
      </c>
    </row>
    <row r="14" spans="1:7" x14ac:dyDescent="0.35">
      <c r="A14" s="1">
        <v>13</v>
      </c>
      <c r="B14" s="1">
        <v>45535</v>
      </c>
      <c r="C14" s="1" t="s">
        <v>7</v>
      </c>
      <c r="D14" s="1">
        <v>500</v>
      </c>
      <c r="E14" s="1">
        <v>9</v>
      </c>
      <c r="F14" s="1">
        <v>15</v>
      </c>
      <c r="G14" s="1">
        <v>8</v>
      </c>
    </row>
    <row r="15" spans="1:7" x14ac:dyDescent="0.35">
      <c r="A15" s="1">
        <v>14</v>
      </c>
      <c r="B15" s="1">
        <v>45558</v>
      </c>
      <c r="C15" s="1" t="s">
        <v>9</v>
      </c>
      <c r="D15" s="1">
        <v>750</v>
      </c>
      <c r="E15" s="1">
        <v>4</v>
      </c>
      <c r="F15" s="1">
        <v>18.75</v>
      </c>
      <c r="G15" s="1">
        <v>7</v>
      </c>
    </row>
    <row r="16" spans="1:7" x14ac:dyDescent="0.35">
      <c r="A16" s="1">
        <v>15</v>
      </c>
      <c r="B16" s="1">
        <v>45617</v>
      </c>
      <c r="C16" s="1" t="s">
        <v>15</v>
      </c>
      <c r="D16" s="1">
        <v>250</v>
      </c>
      <c r="E16" s="1">
        <v>5</v>
      </c>
      <c r="F16" s="1">
        <v>12.5</v>
      </c>
      <c r="G16" s="1">
        <v>3</v>
      </c>
    </row>
    <row r="17" spans="1:7" x14ac:dyDescent="0.35">
      <c r="A17" s="1">
        <v>16</v>
      </c>
      <c r="B17" s="1">
        <v>45536</v>
      </c>
      <c r="C17" s="1" t="s">
        <v>14</v>
      </c>
      <c r="D17" s="1">
        <v>500</v>
      </c>
      <c r="E17" s="1">
        <v>8</v>
      </c>
      <c r="F17" s="1">
        <v>12</v>
      </c>
      <c r="G17" s="1">
        <v>4</v>
      </c>
    </row>
    <row r="18" spans="1:7" x14ac:dyDescent="0.35">
      <c r="A18" s="1">
        <v>17</v>
      </c>
      <c r="B18" s="1">
        <v>45550</v>
      </c>
      <c r="C18" s="1" t="s">
        <v>10</v>
      </c>
      <c r="D18" s="1">
        <v>750</v>
      </c>
      <c r="E18" s="1">
        <v>3</v>
      </c>
      <c r="F18" s="1">
        <v>6</v>
      </c>
      <c r="G18" s="1">
        <v>2</v>
      </c>
    </row>
    <row r="19" spans="1:7" x14ac:dyDescent="0.35">
      <c r="A19" s="1">
        <v>18</v>
      </c>
      <c r="B19" s="1">
        <v>45606</v>
      </c>
      <c r="C19" s="1" t="s">
        <v>13</v>
      </c>
      <c r="D19" s="1">
        <v>250</v>
      </c>
      <c r="E19" s="1">
        <v>7</v>
      </c>
      <c r="F19" s="1">
        <v>10</v>
      </c>
      <c r="G19" s="1">
        <v>9</v>
      </c>
    </row>
    <row r="20" spans="1:7" x14ac:dyDescent="0.35">
      <c r="A20" s="1">
        <v>19</v>
      </c>
      <c r="B20" s="1">
        <v>45532</v>
      </c>
      <c r="C20" s="1" t="s">
        <v>9</v>
      </c>
      <c r="D20" s="1">
        <v>500</v>
      </c>
      <c r="E20" s="1">
        <v>10</v>
      </c>
      <c r="F20" s="1">
        <v>12.5</v>
      </c>
      <c r="G20" s="1">
        <v>1</v>
      </c>
    </row>
    <row r="21" spans="1:7" x14ac:dyDescent="0.35">
      <c r="A21" s="1">
        <v>20</v>
      </c>
      <c r="B21" s="1">
        <v>45618</v>
      </c>
      <c r="C21" s="1" t="s">
        <v>8</v>
      </c>
      <c r="D21" s="1">
        <v>1000</v>
      </c>
      <c r="E21" s="1">
        <v>5</v>
      </c>
      <c r="F21" s="1">
        <v>80</v>
      </c>
      <c r="G21" s="1">
        <v>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06588-641B-424E-A791-595CD11C53A9}">
  <sheetPr codeName="Arkusz9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CA7363-8E31-4B2D-962E-A7C73914A2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DaneModelu</vt:lpstr>
      <vt:lpstr>Sprzedawcy</vt:lpstr>
      <vt:lpstr>Produkty</vt:lpstr>
      <vt:lpstr>ArkuszTest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mateusz brzozowski</dc:creator>
  <cp:lastModifiedBy>mateusz brzozowski</cp:lastModifiedBy>
  <dcterms:created xsi:type="dcterms:W3CDTF">2024-12-03T15:42:34Z</dcterms:created>
  <dcterms:modified xsi:type="dcterms:W3CDTF">2024-12-03T17:37:33Z</dcterms:modified>
</cp:coreProperties>
</file>